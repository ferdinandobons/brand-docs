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ata" sheetId="7" state="visible" r:id="rId7"/>
  </sheets>
  <definedNames>
    <definedName name="client_name">'Cover'!$B$4</definedName>
    <definedName name="dashboard_kpis">'Dashboard'!$A$4:$H$5</definedName>
    <definedName name="data_block">'Data'!$A$2:$D$4</definedName>
    <definedName name="headline_kpi">'Summary'!$B$9</definedName>
    <definedName name="inputs_block">'Inputs'!$A$4:$C$7</definedName>
    <definedName name="model_body">'Model'!$A$4:$G$6</definedName>
    <definedName name="period">'Cover'!$B$5</definedName>
    <definedName name="report_subtitle">'Cover'!$A$2</definedName>
    <definedName name="report_title">'Cover'!$A$1</definedName>
    <definedName name="scenario_block">'Scenarios'!$A$5:$D$8</definedName>
    <definedName name="_xlnm.Print_Area" localSheetId="0">'Cover'!$A$1:$G$13</definedName>
    <definedName name="_xlnm.Print_Area" localSheetId="2">'Model'!$A$1:$G$27</definedName>
    <definedName name="_xlnm.Print_Area" localSheetId="4">'Dashboard'!$A$1:$H$24</definedName>
    <definedName name="_xlnm.Print_Area" localSheetId="5">'Scenarios'!$A$1:$D$13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_($* #,##0.00_);_($* (#,##0.00);_($* &quot;-&quot;??_);_(@_)"/>
    <numFmt numFmtId="165" formatCode="0.0%"/>
    <numFmt numFmtId="166" formatCode="yyyy-mm-dd"/>
    <numFmt numFmtId="167" formatCode="#,##0;[Red](#,##0)"/>
    <numFmt numFmtId="168" formatCode="0.00x"/>
    <numFmt numFmtId="169" formatCode="_($* #,##0_);_($* (#,##0);_($* &quot;-&quot;_);_(@_)"/>
  </numFmts>
  <fonts count="11">
    <font>
      <name val="Calibri"/>
      <family val="2"/>
      <color theme="1"/>
      <sz val="11"/>
      <scheme val="minor"/>
    </font>
    <font>
      <name val="Arial"/>
      <b val="1"/>
      <color rgb="FF16213F"/>
      <sz val="20"/>
    </font>
    <font>
      <name val="Arial"/>
      <b val="1"/>
      <color rgb="FFFFFFFF"/>
      <sz val="11"/>
    </font>
    <font>
      <name val="Calibri"/>
      <color rgb="FF16213F"/>
      <sz val="11"/>
    </font>
    <font>
      <name val="Calibri"/>
      <color rgb="FF2B7CD3"/>
      <sz val="11"/>
    </font>
    <font>
      <name val="Arial"/>
      <b val="1"/>
      <color rgb="FFFFFFFF"/>
      <sz val="15"/>
    </font>
    <font>
      <name val="Arial"/>
      <b val="1"/>
      <color rgb="FFFFFFFF"/>
      <sz val="20"/>
    </font>
    <font>
      <name val="Arial"/>
      <i val="1"/>
      <color rgb="FF2B7CD3"/>
      <sz val="12"/>
    </font>
    <font>
      <name val="Arial"/>
      <b val="1"/>
      <color rgb="FF16213F"/>
      <sz val="14"/>
    </font>
    <font>
      <name val="Arial"/>
      <b val="1"/>
      <color rgb="FF16213F"/>
      <sz val="18"/>
    </font>
    <font>
      <name val="Arial"/>
      <i val="1"/>
      <color rgb="FF2B7CD3"/>
      <sz val="11"/>
    </font>
  </fonts>
  <fills count="4">
    <fill>
      <patternFill/>
    </fill>
    <fill>
      <patternFill patternType="gray125"/>
    </fill>
    <fill>
      <patternFill patternType="solid">
        <fgColor rgb="FF16213F"/>
      </patternFill>
    </fill>
    <fill>
      <patternFill patternType="solid">
        <fgColor rgb="FFEAF1FF"/>
      </patternFill>
    </fill>
  </fills>
  <borders count="3">
    <border>
      <left/>
      <right/>
      <top/>
      <bottom/>
      <diagonal/>
    </border>
    <border/>
    <border>
      <left style="thin">
        <color rgb="FF16213F"/>
      </left>
      <right style="thin">
        <color rgb="FF16213F"/>
      </right>
      <top style="thin">
        <color rgb="FF16213F"/>
      </top>
      <bottom style="thin">
        <color rgb="FF16213F"/>
      </bottom>
    </border>
  </borders>
  <cellStyleXfs count="7">
    <xf numFmtId="0" fontId="0" fillId="0" borderId="0"/>
    <xf numFmtId="0" fontId="1" fillId="0" borderId="1" applyAlignment="1">
      <alignment horizontal="center" vertical="center"/>
    </xf>
    <xf numFmtId="0" fontId="2" fillId="2" borderId="2" applyAlignment="1">
      <alignment horizontal="center" vertical="center"/>
    </xf>
    <xf numFmtId="164" fontId="3" fillId="0" borderId="2"/>
    <xf numFmtId="165" fontId="4" fillId="0" borderId="2"/>
    <xf numFmtId="0" fontId="3" fillId="3" borderId="2"/>
    <xf numFmtId="0" fontId="5" fillId="2" borderId="2" applyAlignment="1">
      <alignment horizontal="center" vertical="center"/>
    </xf>
  </cellStyleXfs>
  <cellXfs count="27">
    <xf numFmtId="0" fontId="0" fillId="0" borderId="0" pivotButton="0" quotePrefix="0" xfId="0"/>
    <xf numFmtId="0" fontId="6" fillId="2" borderId="1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/>
    </xf>
    <xf numFmtId="0" fontId="2" fillId="2" borderId="2" applyAlignment="1" pivotButton="0" quotePrefix="0" xfId="2">
      <alignment horizontal="center" vertical="center"/>
    </xf>
    <xf numFmtId="3" fontId="5" fillId="2" borderId="2" applyAlignment="1" pivotButton="0" quotePrefix="0" xfId="6">
      <alignment horizontal="center" vertical="center"/>
    </xf>
    <xf numFmtId="165" fontId="5" fillId="2" borderId="2" applyAlignment="1" pivotButton="0" quotePrefix="0" xfId="6">
      <alignment horizontal="center" vertical="center"/>
    </xf>
    <xf numFmtId="0" fontId="5" fillId="2" borderId="2" applyAlignment="1" pivotButton="0" quotePrefix="0" xfId="6">
      <alignment horizontal="center" vertical="center"/>
    </xf>
    <xf numFmtId="0" fontId="5" fillId="2" borderId="2" applyAlignment="1" pivotButton="0" quotePrefix="0" xfId="6">
      <alignment horizontal="center" vertical="center" wrapText="1"/>
    </xf>
    <xf numFmtId="166" fontId="0" fillId="0" borderId="0" pivotButton="0" quotePrefix="0" xfId="0"/>
    <xf numFmtId="0" fontId="0" fillId="2" borderId="0" pivotButton="0" quotePrefix="0" xfId="0"/>
    <xf numFmtId="0" fontId="8" fillId="0" borderId="0" pivotButton="0" quotePrefix="0" xfId="0"/>
    <xf numFmtId="0" fontId="3" fillId="3" borderId="2" pivotButton="0" quotePrefix="0" xfId="5"/>
    <xf numFmtId="3" fontId="3" fillId="3" borderId="2" applyProtection="1" pivotButton="0" quotePrefix="0" xfId="5">
      <protection locked="0" hidden="0"/>
    </xf>
    <xf numFmtId="164" fontId="3" fillId="0" borderId="2" applyProtection="1" pivotButton="0" quotePrefix="0" xfId="3">
      <protection locked="0" hidden="0"/>
    </xf>
    <xf numFmtId="165" fontId="4" fillId="0" borderId="2" applyProtection="1" pivotButton="0" quotePrefix="0" xfId="4">
      <protection locked="0" hidden="0"/>
    </xf>
    <xf numFmtId="3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3" fillId="0" borderId="2" pivotButton="0" quotePrefix="0" xfId="3"/>
    <xf numFmtId="165" fontId="4" fillId="0" borderId="2" pivotButton="0" quotePrefix="0" xfId="4"/>
    <xf numFmtId="0" fontId="9" fillId="0" borderId="0" pivotButton="0" quotePrefix="0" xfId="0"/>
    <xf numFmtId="0" fontId="10" fillId="0" borderId="0" pivotButton="0" quotePrefix="0" xfId="0"/>
    <xf numFmtId="3" fontId="5" fillId="2" borderId="2" applyAlignment="1" pivotButton="0" quotePrefix="0" xfId="6">
      <alignment horizontal="center" vertical="center" wrapText="1"/>
    </xf>
    <xf numFmtId="165" fontId="5" fillId="2" borderId="2" applyAlignment="1" pivotButton="0" quotePrefix="0" xfId="6">
      <alignment horizontal="center" vertical="center" wrapText="1"/>
    </xf>
    <xf numFmtId="49" fontId="5" fillId="2" borderId="2" applyAlignment="1" pivotButton="0" quotePrefix="0" xfId="6">
      <alignment horizontal="center" vertical="center" wrapText="1"/>
    </xf>
    <xf numFmtId="168" fontId="3" fillId="3" borderId="2" pivotButton="0" quotePrefix="0" xfId="5"/>
    <xf numFmtId="169" fontId="0" fillId="0" borderId="0" pivotButton="0" quotePrefix="0" xfId="0"/>
  </cellXfs>
  <cellStyles count="7">
    <cellStyle name="Normal" xfId="0" builtinId="0" hidden="0"/>
    <cellStyle name="BrandDocsTitle" xfId="1" hidden="0"/>
    <cellStyle name="BrandDocsHeader" xfId="2" hidden="0"/>
    <cellStyle name="BrandDocsCurrency" xfId="3" hidden="0"/>
    <cellStyle name="BrandDocsPercent" xfId="4" hidden="0"/>
    <cellStyle name="BrandDocsInput" xfId="5" hidden="0"/>
    <cellStyle name="BrandDocsKPI" xfId="6" hidden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E0742B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net revenue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B7CD3"/>
            </a:solidFill>
            <a:ln xmlns:a="http://schemas.openxmlformats.org/drawingml/2006/main">
              <a:prstDash val="solid"/>
            </a:ln>
          </spPr>
          <cat>
            <numRef>
              <f>'Model'!$B$3:$E$3</f>
            </numRef>
          </cat>
          <val>
            <numRef>
              <f>'Model'!$B$7:$E$7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 trend (Q1-Q4)</a:t>
            </a:r>
          </a:p>
        </rich>
      </tx>
    </title>
    <plotArea>
      <lineChart>
        <grouping val="standard"/>
        <ser>
          <idx val="0"/>
          <order val="0"/>
          <tx>
            <v>Net revenue</v>
          </tx>
          <spPr>
            <a:ln xmlns:a="http://schemas.openxmlformats.org/drawingml/2006/main" w="28000">
              <a:solidFill>
                <a:srgbClr val="E074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'Model'!$B$3:$E$3</f>
            </numRef>
          </cat>
          <val>
            <numRef>
              <f>'Model'!$B$7:$E$7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 xmlns:a="http://schemas.openxmlformats.org/drawingml/2006/main">
              <a:srgbClr val="2B7CD3"/>
            </a:solidFill>
            <a:ln xmlns:a="http://schemas.openxmlformats.org/drawingml/2006/main">
              <a:prstDash val="solid"/>
            </a:ln>
          </spPr>
          <cat>
            <numRef>
              <f>'Dashboard'!$A$8:$A$11</f>
            </numRef>
          </cat>
          <val>
            <numRef>
              <f>'Dashboard'!$B$8:$B$11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BrandDocs</author>
  </authors>
  <commentList>
    <comment ref="B3" authorId="0" shapeId="0">
      <text>
        <t>Synthetic scenario selector used by formulas and visual QA.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1714500" cy="428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7</row>
      <rowOff>0</rowOff>
    </from>
    <ext cx="30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randDocsDataTbl" displayName="BrandDocsDataTbl" ref="A3:G7" headerRowCount="1">
  <autoFilter ref="A3:G7"/>
  <tableColumns count="7">
    <tableColumn id="1" name="Line item"/>
    <tableColumn id="2" name="Q1"/>
    <tableColumn id="3" name="Q2"/>
    <tableColumn id="4" name="Q3"/>
    <tableColumn id="5" name="Q4"/>
    <tableColumn id="6" name="FY Total"/>
    <tableColumn id="7" name="% of F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DocsScenarioTbl" displayName="BrandDocsScenarioTbl" ref="A5:D8" headerRowCount="1">
  <autoFilter ref="A5:D8"/>
  <tableColumns count="4">
    <tableColumn id="1" name="Scenario"/>
    <tableColumn id="2" name="Revenue multiplier"/>
    <tableColumn id="3" name="Margin delta"/>
    <tableColumn id="4" name="Narrativ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FY2025 Revenue Performance Review</t>
        </is>
      </c>
    </row>
    <row r="2">
      <c r="A2" s="2" t="inlineStr">
        <is>
          <t>Quarterly revenue model and executive summary</t>
        </is>
      </c>
    </row>
    <row r="4" ht="28" customHeight="1">
      <c r="A4" t="inlineStr">
        <is>
          <t>Prepared for</t>
        </is>
      </c>
      <c r="B4" t="inlineStr">
        <is>
          <t>BrandDocs Corp (synthetic demo)</t>
        </is>
      </c>
      <c r="D4" s="3" t="inlineStr">
        <is>
          <t>FY net revenue</t>
        </is>
      </c>
      <c r="E4" s="3" t="inlineStr">
        <is>
          <t>Net margin</t>
        </is>
      </c>
      <c r="F4" s="3" t="inlineStr">
        <is>
          <t>Brand audit</t>
        </is>
      </c>
      <c r="G4" s="3" t="inlineStr">
        <is>
          <t>Scope</t>
        </is>
      </c>
    </row>
    <row r="5" ht="28" customHeight="1">
      <c r="A5" t="inlineStr">
        <is>
          <t>Reporting period</t>
        </is>
      </c>
      <c r="B5" t="inlineStr">
        <is>
          <t>FY2025 (Q1-Q4)</t>
        </is>
      </c>
      <c r="D5" s="4">
        <f>Summary!B4</f>
        <v/>
      </c>
      <c r="E5" s="5">
        <f>Summary!B8</f>
        <v/>
      </c>
      <c r="F5" s="6" t="inlineStr">
        <is>
          <t>Deep QA</t>
        </is>
      </c>
      <c r="G5" s="7" t="inlineStr">
        <is>
          <t>3 formats</t>
        </is>
      </c>
    </row>
    <row r="6">
      <c r="A6" t="inlineStr">
        <is>
          <t>Generated on</t>
        </is>
      </c>
      <c r="B6" s="8" t="inlineStr">
        <is>
          <t>2026-01-15</t>
        </is>
      </c>
    </row>
    <row r="8" ht="28" customHeight="1">
      <c r="A8" s="9" t="n"/>
      <c r="B8" s="9" t="n"/>
      <c r="C8" s="9" t="n"/>
      <c r="D8" s="9" t="n"/>
      <c r="E8" s="9" t="n"/>
      <c r="F8" s="9" t="n"/>
      <c r="G8" s="9" t="n"/>
    </row>
  </sheetData>
  <mergeCells count="3">
    <mergeCell ref="A8:G8"/>
    <mergeCell ref="A2:G2"/>
    <mergeCell ref="A1:G1"/>
  </mergeCells>
  <pageMargins left="0.75" right="0.75" top="1" bottom="1" header="0.5" footer="0.5"/>
  <pageSetup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10" t="inlineStr">
        <is>
          <t>Model Inputs</t>
        </is>
      </c>
    </row>
    <row r="3">
      <c r="A3" s="3" t="inlineStr">
        <is>
          <t>Driver</t>
        </is>
      </c>
      <c r="B3" s="3" t="inlineStr">
        <is>
          <t>Value</t>
        </is>
      </c>
      <c r="C3" s="3" t="inlineStr">
        <is>
          <t>Unit</t>
        </is>
      </c>
    </row>
    <row r="4">
      <c r="A4" s="11" t="inlineStr">
        <is>
          <t>Units sold</t>
        </is>
      </c>
      <c r="B4" s="12" t="n">
        <v>29070</v>
      </c>
      <c r="C4" s="11" t="inlineStr">
        <is>
          <t>ea</t>
        </is>
      </c>
    </row>
    <row r="5">
      <c r="A5" s="11" t="inlineStr">
        <is>
          <t>Unit price</t>
        </is>
      </c>
      <c r="B5" s="13" t="n">
        <v>50</v>
      </c>
      <c r="C5" s="11" t="inlineStr">
        <is>
          <t>USD</t>
        </is>
      </c>
    </row>
    <row r="6">
      <c r="A6" s="11" t="inlineStr">
        <is>
          <t>Discount rate</t>
        </is>
      </c>
      <c r="B6" s="14" t="n">
        <v>0.12</v>
      </c>
      <c r="C6" s="11" t="inlineStr">
        <is>
          <t>pct</t>
        </is>
      </c>
    </row>
    <row r="7">
      <c r="A7" s="11" t="inlineStr">
        <is>
          <t>Tax rate</t>
        </is>
      </c>
      <c r="B7" s="14" t="n">
        <v>0.22</v>
      </c>
      <c r="C7" s="11" t="inlineStr">
        <is>
          <t>pct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headerFooter>
    <oddHeader>&amp;C&amp;A</oddHeader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0" t="inlineStr">
        <is>
          <t>Revenue Model</t>
        </is>
      </c>
    </row>
    <row r="3">
      <c r="A3" s="3" t="inlineStr">
        <is>
          <t>Line item</t>
        </is>
      </c>
      <c r="B3" s="3" t="inlineStr">
        <is>
          <t>Q1</t>
        </is>
      </c>
      <c r="C3" s="3" t="inlineStr">
        <is>
          <t>Q2</t>
        </is>
      </c>
      <c r="D3" s="3" t="inlineStr">
        <is>
          <t>Q3</t>
        </is>
      </c>
      <c r="E3" s="3" t="inlineStr">
        <is>
          <t>Q4</t>
        </is>
      </c>
      <c r="F3" s="3" t="inlineStr">
        <is>
          <t>FY Total</t>
        </is>
      </c>
      <c r="G3" s="3" t="inlineStr">
        <is>
          <t>% of FY</t>
        </is>
      </c>
    </row>
    <row r="4">
      <c r="A4" t="inlineStr">
        <is>
          <t>Gross revenue</t>
        </is>
      </c>
      <c r="B4" s="15" t="n">
        <v>320000</v>
      </c>
      <c r="C4" s="15" t="n">
        <v>351000</v>
      </c>
      <c r="D4" s="15" t="n">
        <v>372500</v>
      </c>
      <c r="E4" s="15" t="n">
        <v>410000</v>
      </c>
      <c r="F4" s="15">
        <f>SUM(B4:E4)</f>
        <v/>
      </c>
      <c r="G4" s="16">
        <f>IF($F$7=0,0,F4/$F$7)</f>
        <v/>
      </c>
    </row>
    <row r="5">
      <c r="A5" t="inlineStr">
        <is>
          <t>Discounts</t>
        </is>
      </c>
      <c r="B5" s="17" t="n">
        <v>-38400</v>
      </c>
      <c r="C5" s="17" t="n">
        <v>-42120</v>
      </c>
      <c r="D5" s="17" t="n">
        <v>-44700</v>
      </c>
      <c r="E5" s="17" t="n">
        <v>-49200</v>
      </c>
      <c r="F5" s="17">
        <f>SUM(B5:E5)</f>
        <v/>
      </c>
      <c r="G5" s="16">
        <f>IF($F$7=0,0,F5/$F$7)</f>
        <v/>
      </c>
    </row>
    <row r="6">
      <c r="A6" t="inlineStr">
        <is>
          <t>Returns</t>
        </is>
      </c>
      <c r="B6" s="17" t="n">
        <v>-9600</v>
      </c>
      <c r="C6" s="17" t="n">
        <v>-10530</v>
      </c>
      <c r="D6" s="17" t="n">
        <v>-11175</v>
      </c>
      <c r="E6" s="17" t="n">
        <v>-12300</v>
      </c>
      <c r="F6" s="17">
        <f>SUM(B6:E6)</f>
        <v/>
      </c>
      <c r="G6" s="16">
        <f>IF($F$7=0,0,F6/$F$7)</f>
        <v/>
      </c>
    </row>
    <row r="7">
      <c r="A7" t="inlineStr">
        <is>
          <t>Net revenue</t>
        </is>
      </c>
      <c r="B7" s="15">
        <f>SUM(B4:B6)</f>
        <v/>
      </c>
      <c r="C7" s="15">
        <f>SUM(C4:C6)</f>
        <v/>
      </c>
      <c r="D7" s="15">
        <f>SUM(D4:D6)</f>
        <v/>
      </c>
      <c r="E7" s="15">
        <f>SUM(E4:E6)</f>
        <v/>
      </c>
      <c r="F7" s="15">
        <f>SUM(B7:E7)</f>
        <v/>
      </c>
      <c r="G7" s="16">
        <f>IF($F$7=0,0,F7/$F$7)</f>
        <v/>
      </c>
    </row>
    <row r="9">
      <c r="A9" t="inlineStr">
        <is>
          <t>Subtotal (visible)</t>
        </is>
      </c>
      <c r="F9" s="15">
        <f>SUBTOTAL(9,F4:F6)</f>
        <v/>
      </c>
    </row>
  </sheetData>
  <conditionalFormatting sqref="B4:E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top10" rank="3" priority="5" dxfId="0"/>
  </conditionalFormatting>
  <conditionalFormatting sqref="G4:G7">
    <cfRule type="cellIs" priority="2" operator="greaterThan" dxfId="1">
      <formula>0.5</formula>
    </cfRule>
  </conditionalFormatting>
  <conditionalFormatting sqref="F4:F6">
    <cfRule type="expression" priority="3" dxfId="2">
      <formula>F4&lt;0</formula>
    </cfRule>
  </conditionalFormatting>
  <conditionalFormatting sqref="G4:G6">
    <cfRule type="iconSet" priority="4">
      <iconSet iconSet="3TrafficLights1">
        <cfvo type="percent" val="0"/>
        <cfvo type="percent" val="33"/>
        <cfvo type="percent" val="67"/>
      </iconSet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10" t="inlineStr">
        <is>
          <t>Executive Summary</t>
        </is>
      </c>
    </row>
    <row r="3">
      <c r="A3" s="3" t="inlineStr">
        <is>
          <t>Metric</t>
        </is>
      </c>
      <c r="B3" s="3" t="inlineStr">
        <is>
          <t>Value</t>
        </is>
      </c>
    </row>
    <row r="4">
      <c r="A4" t="inlineStr">
        <is>
          <t>FY net revenue</t>
        </is>
      </c>
      <c r="B4" s="15">
        <f>Model!F7</f>
        <v/>
      </c>
    </row>
    <row r="5">
      <c r="A5" t="inlineStr">
        <is>
          <t>Units sold (input)</t>
        </is>
      </c>
      <c r="B5" s="15">
        <f>Inputs!B4</f>
        <v/>
      </c>
    </row>
    <row r="6">
      <c r="A6" t="inlineStr">
        <is>
          <t>Unit price (input)</t>
        </is>
      </c>
      <c r="B6" s="18">
        <f>Inputs!B5</f>
        <v/>
      </c>
    </row>
    <row r="7">
      <c r="A7" t="inlineStr">
        <is>
          <t>Implied gross</t>
        </is>
      </c>
      <c r="B7" s="18">
        <f>Inputs!B4*Inputs!B5</f>
        <v/>
      </c>
    </row>
    <row r="8">
      <c r="A8" t="inlineStr">
        <is>
          <t>Net margin</t>
        </is>
      </c>
      <c r="B8" s="19">
        <f>IF(B7=0,0,B4/B7)</f>
        <v/>
      </c>
    </row>
    <row r="9">
      <c r="A9" t="inlineStr">
        <is>
          <t>Headline KPI</t>
        </is>
      </c>
      <c r="B9" t="inlineStr">
        <is>
          <t>85% net margin on $1.45M gross</t>
        </is>
      </c>
    </row>
  </sheetData>
  <pageMargins left="0.75" right="0.75" top="1" bottom="1" header="0.5" footer="0.5"/>
  <pageSetup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20" t="inlineStr">
        <is>
          <t>Executive Dashboard</t>
        </is>
      </c>
    </row>
    <row r="2">
      <c r="A2" s="21" t="inlineStr">
        <is>
          <t>Formula-backed snapshot generated from the model, inputs, and summary tabs</t>
        </is>
      </c>
    </row>
    <row r="4">
      <c r="A4" s="3" t="inlineStr">
        <is>
          <t>FY net revenue</t>
        </is>
      </c>
      <c r="C4" s="3" t="inlineStr">
        <is>
          <t>Net margin</t>
        </is>
      </c>
      <c r="E4" s="3" t="inlineStr">
        <is>
          <t>Input units</t>
        </is>
      </c>
      <c r="G4" s="3" t="inlineStr">
        <is>
          <t>Scenario</t>
        </is>
      </c>
    </row>
    <row r="5">
      <c r="A5" s="22">
        <f>Summary!B4</f>
        <v/>
      </c>
      <c r="C5" s="23">
        <f>Summary!B8</f>
        <v/>
      </c>
      <c r="E5" s="22">
        <f>Summary!B5</f>
        <v/>
      </c>
      <c r="G5" s="24">
        <f>Scenarios!B3</f>
        <v/>
      </c>
    </row>
    <row r="7">
      <c r="A7" s="3" t="inlineStr">
        <is>
          <t>Quarter</t>
        </is>
      </c>
      <c r="B7" s="3" t="inlineStr">
        <is>
          <t>Net revenue</t>
        </is>
      </c>
      <c r="C7" s="3" t="inlineStr">
        <is>
          <t>Growth</t>
        </is>
      </c>
    </row>
    <row r="8">
      <c r="A8" t="inlineStr">
        <is>
          <t>Q1</t>
        </is>
      </c>
      <c r="B8" s="15">
        <f>Model!B7</f>
        <v/>
      </c>
      <c r="C8" t="inlineStr">
        <is>
          <t>-</t>
        </is>
      </c>
    </row>
    <row r="9">
      <c r="A9" t="inlineStr">
        <is>
          <t>Q2</t>
        </is>
      </c>
      <c r="B9" s="15">
        <f>Model!C7</f>
        <v/>
      </c>
      <c r="C9" s="16">
        <f>IF(B8=0,0,B9/B8-1)</f>
        <v/>
      </c>
    </row>
    <row r="10">
      <c r="A10" t="inlineStr">
        <is>
          <t>Q3</t>
        </is>
      </c>
      <c r="B10" s="15">
        <f>Model!D7</f>
        <v/>
      </c>
      <c r="C10" s="16">
        <f>IF(B9=0,0,B10/B9-1)</f>
        <v/>
      </c>
    </row>
    <row r="11">
      <c r="A11" t="inlineStr">
        <is>
          <t>Q4</t>
        </is>
      </c>
      <c r="B11" s="15">
        <f>Model!E7</f>
        <v/>
      </c>
      <c r="C11" s="16">
        <f>IF(B10=0,0,B11/B10-1)</f>
        <v/>
      </c>
    </row>
  </sheetData>
  <mergeCells count="10">
    <mergeCell ref="A4:B4"/>
    <mergeCell ref="G4:H4"/>
    <mergeCell ref="E4:F4"/>
    <mergeCell ref="A1:G1"/>
    <mergeCell ref="C5:D5"/>
    <mergeCell ref="A5:B5"/>
    <mergeCell ref="G5:H5"/>
    <mergeCell ref="E5:F5"/>
    <mergeCell ref="A2:G2"/>
    <mergeCell ref="C4:D4"/>
  </mergeCells>
  <conditionalFormatting sqref="B8:B11">
    <cfRule type="dataBar" priority="1">
      <dataBar showValue="1">
        <cfvo type="min"/>
        <cfvo type="max"/>
        <color rgb="002B7CD3"/>
      </dataBar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24" customWidth="1" min="4" max="4"/>
  </cols>
  <sheetData>
    <row r="1">
      <c r="A1" s="10" t="inlineStr">
        <is>
          <t>Scenario Controls</t>
        </is>
      </c>
    </row>
    <row r="3">
      <c r="A3" t="inlineStr">
        <is>
          <t>Selected scenario</t>
        </is>
      </c>
      <c r="B3" s="11" t="inlineStr">
        <is>
          <t>Base</t>
        </is>
      </c>
    </row>
    <row r="5">
      <c r="A5" s="3" t="inlineStr">
        <is>
          <t>Scenario</t>
        </is>
      </c>
      <c r="B5" s="3" t="inlineStr">
        <is>
          <t>Revenue multiplier</t>
        </is>
      </c>
      <c r="C5" s="3" t="inlineStr">
        <is>
          <t>Margin delta</t>
        </is>
      </c>
      <c r="D5" s="3" t="inlineStr">
        <is>
          <t>Narrative</t>
        </is>
      </c>
    </row>
    <row r="6">
      <c r="A6" t="inlineStr">
        <is>
          <t>Base</t>
        </is>
      </c>
      <c r="B6" s="25" t="n">
        <v>1</v>
      </c>
      <c r="C6" s="19" t="n">
        <v>0</v>
      </c>
      <c r="D6" t="inlineStr">
        <is>
          <t>Plan case</t>
        </is>
      </c>
    </row>
    <row r="7">
      <c r="A7" t="inlineStr">
        <is>
          <t>Upside</t>
        </is>
      </c>
      <c r="B7" s="25" t="n">
        <v>1.12</v>
      </c>
      <c r="C7" s="19" t="n">
        <v>0.025</v>
      </c>
      <c r="D7" t="inlineStr">
        <is>
          <t>Faster adoption</t>
        </is>
      </c>
    </row>
    <row r="8">
      <c r="A8" t="inlineStr">
        <is>
          <t>Downside</t>
        </is>
      </c>
      <c r="B8" s="25" t="n">
        <v>0.91</v>
      </c>
      <c r="C8" s="19" t="n">
        <v>-0.035</v>
      </c>
      <c r="D8" t="inlineStr">
        <is>
          <t>Cost pressure</t>
        </is>
      </c>
    </row>
    <row r="10">
      <c r="A10" t="inlineStr">
        <is>
          <t>Scenario revenue</t>
        </is>
      </c>
      <c r="B10" s="15">
        <f>Summary!B4*INDEX(B6:B8,MATCH($B$3,A6:A8,0))</f>
        <v/>
      </c>
    </row>
    <row r="11">
      <c r="A11" t="inlineStr">
        <is>
          <t>Scenario margin</t>
        </is>
      </c>
      <c r="B11" s="16">
        <f>Summary!B8+INDEX(C6:C8,MATCH($B$3,A6:A8,0))</f>
        <v/>
      </c>
    </row>
  </sheetData>
  <dataValidations count="1">
    <dataValidation sqref="B3" showDropDown="0" showInputMessage="0" showErrorMessage="0" allowBlank="0" type="list">
      <formula1>"Base,Upside,Downside"</formula1>
    </dataValidation>
  </dataValidations>
  <pageMargins left="0.75" right="0.75" top="1" bottom="1" header="0.5" footer="0.5"/>
  <pageSetup fitToHeight="1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6" customWidth="1" min="4" max="4"/>
  </cols>
  <sheetData>
    <row r="1">
      <c r="A1" s="3" t="inlineStr">
        <is>
          <t>Date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Amount</t>
        </is>
      </c>
    </row>
    <row r="2">
      <c r="A2" s="8" t="inlineStr">
        <is>
          <t>2025-10-01</t>
        </is>
      </c>
      <c r="B2" t="inlineStr">
        <is>
          <t>North</t>
        </is>
      </c>
      <c r="C2" t="inlineStr">
        <is>
          <t>Widget</t>
        </is>
      </c>
      <c r="D2" s="26" t="n">
        <v>12500</v>
      </c>
    </row>
    <row r="3">
      <c r="A3" s="8" t="inlineStr">
        <is>
          <t>2025-10-02</t>
        </is>
      </c>
      <c r="B3" t="inlineStr">
        <is>
          <t>South</t>
        </is>
      </c>
      <c r="C3" t="inlineStr">
        <is>
          <t>Gadget</t>
        </is>
      </c>
      <c r="D3" s="26" t="n">
        <v>9800</v>
      </c>
    </row>
    <row r="4">
      <c r="A4" s="8" t="inlineStr">
        <is>
          <t>2025-10-03</t>
        </is>
      </c>
      <c r="B4" t="inlineStr">
        <is>
          <t>East</t>
        </is>
      </c>
      <c r="C4" t="inlineStr">
        <is>
          <t>Widget</t>
        </is>
      </c>
      <c r="D4" s="26" t="n">
        <v>14200</v>
      </c>
    </row>
    <row r="5">
      <c r="C5" t="inlineStr">
        <is>
          <t>Total</t>
        </is>
      </c>
      <c r="D5" s="15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2026-06-05T00:00:00Z</dcterms:created>
  <dcterms:modified xmlns:dcterms="http://purl.org/dc/terms/" xmlns:xsi="http://www.w3.org/2001/XMLSchema-instance" xsi:type="dcterms:W3CDTF">2026-06-05T00:00:00Z</dcterms:modified>
</cp:coreProperties>
</file>